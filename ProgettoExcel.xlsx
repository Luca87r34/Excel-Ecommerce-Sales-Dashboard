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tente1\Desktop\LUCA\"/>
    </mc:Choice>
  </mc:AlternateContent>
  <xr:revisionPtr revIDLastSave="0" documentId="8_{42826A1B-06C1-497B-ACBE-C4A3B3237D25}" xr6:coauthVersionLast="47" xr6:coauthVersionMax="47" xr10:uidLastSave="{00000000-0000-0000-0000-000000000000}"/>
  <bookViews>
    <workbookView xWindow="-108" yWindow="-108" windowWidth="23256" windowHeight="12456" activeTab="2" xr2:uid="{22658004-3A06-411D-B0E7-AB7989508E6F}"/>
  </bookViews>
  <sheets>
    <sheet name="Foglio1" sheetId="1" r:id="rId1"/>
    <sheet name="Calcoli_Pivot" sheetId="2" r:id="rId2"/>
    <sheet name="Dashboard" sheetId="3" r:id="rId3"/>
  </sheets>
  <definedNames>
    <definedName name="FiltroDati_Canale">#N/A</definedName>
    <definedName name="FiltroDati_Categoria">#N/A</definedName>
    <definedName name="FiltroDati_Region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  <c r="M2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</calcChain>
</file>

<file path=xl/sharedStrings.xml><?xml version="1.0" encoding="utf-8"?>
<sst xmlns="http://schemas.openxmlformats.org/spreadsheetml/2006/main" count="164" uniqueCount="82">
  <si>
    <t>ID_Ordine</t>
  </si>
  <si>
    <t>Data</t>
  </si>
  <si>
    <t>Categoria</t>
  </si>
  <si>
    <t>Prodotto</t>
  </si>
  <si>
    <t>Prezzo_Unitario</t>
  </si>
  <si>
    <t>Quantita</t>
  </si>
  <si>
    <t>Costo_Unitario</t>
  </si>
  <si>
    <t>Canale</t>
  </si>
  <si>
    <t>Regione</t>
  </si>
  <si>
    <t>Valutazione</t>
  </si>
  <si>
    <t>ORD-1001</t>
  </si>
  <si>
    <t>Smartphone</t>
  </si>
  <si>
    <t>iPhone 15 Pro</t>
  </si>
  <si>
    <t>Online</t>
  </si>
  <si>
    <t>Nord</t>
  </si>
  <si>
    <t>ORD-1002</t>
  </si>
  <si>
    <t>Laptop</t>
  </si>
  <si>
    <t>MacBook Air M2</t>
  </si>
  <si>
    <t>Store Fisico</t>
  </si>
  <si>
    <t>Centro</t>
  </si>
  <si>
    <t>ORD-1003</t>
  </si>
  <si>
    <t>Audio</t>
  </si>
  <si>
    <t>AirPods Pro 2</t>
  </si>
  <si>
    <t>Sud</t>
  </si>
  <si>
    <t>ORD-1004</t>
  </si>
  <si>
    <t>Gaming</t>
  </si>
  <si>
    <t>Console PS5</t>
  </si>
  <si>
    <t>ORD-1005</t>
  </si>
  <si>
    <t>Wearable</t>
  </si>
  <si>
    <t>Smartwatch Series 9</t>
  </si>
  <si>
    <t>ORD-1006</t>
  </si>
  <si>
    <t>Samsung Galaxy S24</t>
  </si>
  <si>
    <t>ORD-1007</t>
  </si>
  <si>
    <t>Dell XPS 13</t>
  </si>
  <si>
    <t>ORD-1008</t>
  </si>
  <si>
    <t>Sony WH-1000XM5</t>
  </si>
  <si>
    <t>ORD-1009</t>
  </si>
  <si>
    <t>Tastiera Meccanica RGB</t>
  </si>
  <si>
    <t>ORD-1010</t>
  </si>
  <si>
    <t>Garmin Forerunner</t>
  </si>
  <si>
    <t>ORD-1011</t>
  </si>
  <si>
    <t>Google Pixel 8</t>
  </si>
  <si>
    <t>ORD-1012</t>
  </si>
  <si>
    <t>Lenovo ThinkPad</t>
  </si>
  <si>
    <t>ORD-1013</t>
  </si>
  <si>
    <t>Bose QuietComfort</t>
  </si>
  <si>
    <t>ORD-1014</t>
  </si>
  <si>
    <t>Mouse Gaming Pro</t>
  </si>
  <si>
    <t>ORD-1015</t>
  </si>
  <si>
    <t>Xiaomi 14</t>
  </si>
  <si>
    <t>ORD-1016</t>
  </si>
  <si>
    <t>ASUS ROG Strix</t>
  </si>
  <si>
    <t>ORD-1017</t>
  </si>
  <si>
    <t>Apple Watch Ultra 2</t>
  </si>
  <si>
    <t>ORD-1018</t>
  </si>
  <si>
    <t>JBL Flip 6</t>
  </si>
  <si>
    <t>ORD-1019</t>
  </si>
  <si>
    <t>Monitor Gaming 27"</t>
  </si>
  <si>
    <t>ORD-1020</t>
  </si>
  <si>
    <t>iPhone 15</t>
  </si>
  <si>
    <t>ORD-1021</t>
  </si>
  <si>
    <t>HP Spectre x360</t>
  </si>
  <si>
    <t>ORD-1022</t>
  </si>
  <si>
    <t>Samsung Galaxy Watch 6</t>
  </si>
  <si>
    <t>ORD-1023</t>
  </si>
  <si>
    <t>Sennheiser Momentum 4</t>
  </si>
  <si>
    <t>ORD-1024</t>
  </si>
  <si>
    <t>Cuffie Gaming Wireless</t>
  </si>
  <si>
    <t>ORD-1025</t>
  </si>
  <si>
    <t>OnePlus 12</t>
  </si>
  <si>
    <t>Fatturato</t>
  </si>
  <si>
    <t>Costo totale</t>
  </si>
  <si>
    <t>Profitto</t>
  </si>
  <si>
    <t>Margine %</t>
  </si>
  <si>
    <t>Etichette di riga</t>
  </si>
  <si>
    <t>Totale complessivo</t>
  </si>
  <si>
    <t>Somma di Fatturato</t>
  </si>
  <si>
    <t>Somma di Profitto</t>
  </si>
  <si>
    <t>gen</t>
  </si>
  <si>
    <t>feb</t>
  </si>
  <si>
    <t>mar</t>
  </si>
  <si>
    <t>Etichette di colonna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</si>
</sst>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8" fontId="0" fillId="0" borderId="0" xfId="0" applyNumberFormat="1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0" fontId="0" fillId="2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4">
    <dxf>
      <numFmt numFmtId="34" formatCode="_-* #,##0.00\ &quot;€&quot;_-;\-* #,##0.00\ &quot;€&quot;_-;_-* &quot;-&quot;??\ &quot;€&quot;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34" formatCode="_-* #,##0.00\ &quot;€&quot;_-;\-* #,##0.00\ &quot;€&quot;_-;_-* &quot;-&quot;??\ &quot;€&quot;_-;_-@_-"/>
    </dxf>
    <dxf>
      <numFmt numFmtId="164" formatCode="_-* #,##0.00\ [$€-410]_-;\-* #,##0.00\ [$€-410]_-;_-* &quot;-&quot;??\ [$€-410]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.00\ [$€-410]_-;\-* #,##0.00\ [$€-410]_-;_-* &quot;-&quot;??\ [$€-410]_-;_-@_-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[ProgettoExcel.xlsx]Calcoli_Pivot!Tabella pivot1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Fatturato e Profitto per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Calcoli_Pivot!$B$3</c:f>
              <c:strCache>
                <c:ptCount val="1"/>
                <c:pt idx="0">
                  <c:v>Somma di Fatturato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Calcoli_Pivot!$A$4:$A$9</c:f>
              <c:strCache>
                <c:ptCount val="5"/>
                <c:pt idx="0">
                  <c:v>Audio</c:v>
                </c:pt>
                <c:pt idx="1">
                  <c:v>Gaming</c:v>
                </c:pt>
                <c:pt idx="2">
                  <c:v>Laptop</c:v>
                </c:pt>
                <c:pt idx="3">
                  <c:v>Smartphone</c:v>
                </c:pt>
                <c:pt idx="4">
                  <c:v>Wearable</c:v>
                </c:pt>
              </c:strCache>
            </c:strRef>
          </c:cat>
          <c:val>
            <c:numRef>
              <c:f>Calcoli_Pivot!$B$4:$B$9</c:f>
              <c:numCache>
                <c:formatCode>_-* #,##0.00\ [$€-410]_-;\-* #,##0.00\ [$€-410]_-;_-* "-"??\ [$€-410]_-;_-@_-</c:formatCode>
                <c:ptCount val="5"/>
                <c:pt idx="0">
                  <c:v>4400</c:v>
                </c:pt>
                <c:pt idx="1">
                  <c:v>3070</c:v>
                </c:pt>
                <c:pt idx="2">
                  <c:v>7550</c:v>
                </c:pt>
                <c:pt idx="3">
                  <c:v>11090</c:v>
                </c:pt>
                <c:pt idx="4">
                  <c:v>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B-4949-9AF0-2D6A866C69E4}"/>
            </c:ext>
          </c:extLst>
        </c:ser>
        <c:ser>
          <c:idx val="1"/>
          <c:order val="1"/>
          <c:tx>
            <c:strRef>
              <c:f>Calcoli_Pivot!$C$3</c:f>
              <c:strCache>
                <c:ptCount val="1"/>
                <c:pt idx="0">
                  <c:v>Somma di Profitto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Calcoli_Pivot!$A$4:$A$9</c:f>
              <c:strCache>
                <c:ptCount val="5"/>
                <c:pt idx="0">
                  <c:v>Audio</c:v>
                </c:pt>
                <c:pt idx="1">
                  <c:v>Gaming</c:v>
                </c:pt>
                <c:pt idx="2">
                  <c:v>Laptop</c:v>
                </c:pt>
                <c:pt idx="3">
                  <c:v>Smartphone</c:v>
                </c:pt>
                <c:pt idx="4">
                  <c:v>Wearable</c:v>
                </c:pt>
              </c:strCache>
            </c:strRef>
          </c:cat>
          <c:val>
            <c:numRef>
              <c:f>Calcoli_Pivot!$C$4:$C$9</c:f>
              <c:numCache>
                <c:formatCode>_-* #,##0.00\ [$€-410]_-;\-* #,##0.00\ [$€-410]_-;_-* "-"??\ [$€-410]_-;_-@_-</c:formatCode>
                <c:ptCount val="5"/>
                <c:pt idx="0">
                  <c:v>1580</c:v>
                </c:pt>
                <c:pt idx="1">
                  <c:v>950</c:v>
                </c:pt>
                <c:pt idx="2">
                  <c:v>1560</c:v>
                </c:pt>
                <c:pt idx="3">
                  <c:v>2450</c:v>
                </c:pt>
                <c:pt idx="4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B-4949-9AF0-2D6A866C6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061919"/>
        <c:axId val="562058175"/>
      </c:barChart>
      <c:catAx>
        <c:axId val="56206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058175"/>
        <c:crosses val="autoZero"/>
        <c:auto val="1"/>
        <c:lblAlgn val="ctr"/>
        <c:lblOffset val="100"/>
        <c:noMultiLvlLbl val="0"/>
      </c:catAx>
      <c:valAx>
        <c:axId val="5620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06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[ProgettoExcel.xlsx]Calcoli_Pivot!Tabella pivot3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per Canale e Regione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Calcoli_Pivot!$J$3:$J$4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Calcoli_Pivot!$I$5:$I$7</c:f>
              <c:strCache>
                <c:ptCount val="2"/>
                <c:pt idx="0">
                  <c:v>Online</c:v>
                </c:pt>
                <c:pt idx="1">
                  <c:v>Store Fisico</c:v>
                </c:pt>
              </c:strCache>
            </c:strRef>
          </c:cat>
          <c:val>
            <c:numRef>
              <c:f>Calcoli_Pivot!$J$5:$J$7</c:f>
              <c:numCache>
                <c:formatCode>_-* #,##0.00\ [$€-410]_-;\-* #,##0.00\ [$€-410]_-;_-* "-"??\ [$€-410]_-;_-@_-</c:formatCode>
                <c:ptCount val="2"/>
                <c:pt idx="0">
                  <c:v>6380</c:v>
                </c:pt>
                <c:pt idx="1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4-4751-B156-CCE810C93520}"/>
            </c:ext>
          </c:extLst>
        </c:ser>
        <c:ser>
          <c:idx val="1"/>
          <c:order val="1"/>
          <c:tx>
            <c:strRef>
              <c:f>Calcoli_Pivot!$K$3:$K$4</c:f>
              <c:strCache>
                <c:ptCount val="1"/>
                <c:pt idx="0">
                  <c:v>Nord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Calcoli_Pivot!$I$5:$I$7</c:f>
              <c:strCache>
                <c:ptCount val="2"/>
                <c:pt idx="0">
                  <c:v>Online</c:v>
                </c:pt>
                <c:pt idx="1">
                  <c:v>Store Fisico</c:v>
                </c:pt>
              </c:strCache>
            </c:strRef>
          </c:cat>
          <c:val>
            <c:numRef>
              <c:f>Calcoli_Pivot!$K$5:$K$7</c:f>
              <c:numCache>
                <c:formatCode>_-* #,##0.00\ [$€-410]_-;\-* #,##0.00\ [$€-410]_-;_-* "-"??\ [$€-410]_-;_-@_-</c:formatCode>
                <c:ptCount val="2"/>
                <c:pt idx="0">
                  <c:v>8890</c:v>
                </c:pt>
                <c:pt idx="1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4-4751-B156-CCE810C93520}"/>
            </c:ext>
          </c:extLst>
        </c:ser>
        <c:ser>
          <c:idx val="2"/>
          <c:order val="2"/>
          <c:tx>
            <c:strRef>
              <c:f>Calcoli_Pivot!$L$3:$L$4</c:f>
              <c:strCache>
                <c:ptCount val="1"/>
                <c:pt idx="0">
                  <c:v>Sud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Calcoli_Pivot!$I$5:$I$7</c:f>
              <c:strCache>
                <c:ptCount val="2"/>
                <c:pt idx="0">
                  <c:v>Online</c:v>
                </c:pt>
                <c:pt idx="1">
                  <c:v>Store Fisico</c:v>
                </c:pt>
              </c:strCache>
            </c:strRef>
          </c:cat>
          <c:val>
            <c:numRef>
              <c:f>Calcoli_Pivot!$L$5:$L$7</c:f>
              <c:numCache>
                <c:formatCode>_-* #,##0.00\ [$€-410]_-;\-* #,##0.00\ [$€-410]_-;_-* "-"??\ [$€-410]_-;_-@_-</c:formatCode>
                <c:ptCount val="2"/>
                <c:pt idx="0">
                  <c:v>4790</c:v>
                </c:pt>
                <c:pt idx="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4-4751-B156-CCE810C9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684447"/>
        <c:axId val="748839247"/>
      </c:barChart>
      <c:catAx>
        <c:axId val="9646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8839247"/>
        <c:crosses val="autoZero"/>
        <c:auto val="1"/>
        <c:lblAlgn val="ctr"/>
        <c:lblOffset val="100"/>
        <c:noMultiLvlLbl val="0"/>
      </c:catAx>
      <c:valAx>
        <c:axId val="74883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6468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[ProgettoExcel.xlsx]Calcoli_Pivot!Tabella pivot2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Vendite mensili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Calcoli_Pivot!$F$3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Calcoli_Pivot!$E$4:$E$7</c:f>
              <c:strCache>
                <c:ptCount val="3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Calcoli_Pivot!$F$4:$F$7</c:f>
              <c:numCache>
                <c:formatCode>_-* #,##0.00\ [$€-410]_-;\-* #,##0.00\ [$€-410]_-;_-* "-"??\ [$€-410]_-;_-@_-</c:formatCode>
                <c:ptCount val="3"/>
                <c:pt idx="0">
                  <c:v>10440</c:v>
                </c:pt>
                <c:pt idx="1">
                  <c:v>9050</c:v>
                </c:pt>
                <c:pt idx="2">
                  <c:v>9530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4-4D91-94D0-1C5E04A1F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965231"/>
        <c:axId val="539965647"/>
      </c:lineChart>
      <c:catAx>
        <c:axId val="53996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9965647"/>
        <c:crosses val="autoZero"/>
        <c:auto val="1"/>
        <c:lblAlgn val="ctr"/>
        <c:lblOffset val="100"/>
        <c:noMultiLvlLbl val="0"/>
      </c:catAx>
      <c:valAx>
        <c:axId val="53996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996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15240</xdr:rowOff>
    </xdr:from>
    <xdr:to>
      <xdr:col>7</xdr:col>
      <xdr:colOff>304800</xdr:colOff>
      <xdr:row>29</xdr:row>
      <xdr:rowOff>15240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1FD9011-7203-46CB-B9E7-8EECD5648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243840</xdr:colOff>
      <xdr:row>14</xdr:row>
      <xdr:rowOff>30480</xdr:rowOff>
    </xdr:from>
    <xdr:to>
      <xdr:col>22</xdr:col>
      <xdr:colOff>548640</xdr:colOff>
      <xdr:row>29</xdr:row>
      <xdr:rowOff>30480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5666254-9697-4594-BD5B-D0A4EE92C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14</xdr:row>
      <xdr:rowOff>7620</xdr:rowOff>
    </xdr:from>
    <xdr:to>
      <xdr:col>15</xdr:col>
      <xdr:colOff>114300</xdr:colOff>
      <xdr:row>29</xdr:row>
      <xdr:rowOff>7620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D629F42-58CB-47BA-A1F3-30C6745E8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53340</xdr:colOff>
      <xdr:row>0</xdr:row>
      <xdr:rowOff>22860</xdr:rowOff>
    </xdr:from>
    <xdr:to>
      <xdr:col>16</xdr:col>
      <xdr:colOff>258166</xdr:colOff>
      <xdr:row>10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nale">
              <a:extLst>
                <a:ext uri="{FF2B5EF4-FFF2-40B4-BE49-F238E27FC236}">
                  <a16:creationId xmlns:a16="http://schemas.microsoft.com/office/drawing/2014/main" id="{DE78B04E-0D2C-F073-F4BD-3B824A00A5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7740" y="22860"/>
              <a:ext cx="1424026" cy="1811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350520</xdr:colOff>
      <xdr:row>0</xdr:row>
      <xdr:rowOff>22860</xdr:rowOff>
    </xdr:from>
    <xdr:to>
      <xdr:col>8</xdr:col>
      <xdr:colOff>393720</xdr:colOff>
      <xdr:row>11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e 1">
              <a:extLst>
                <a:ext uri="{FF2B5EF4-FFF2-40B4-BE49-F238E27FC236}">
                  <a16:creationId xmlns:a16="http://schemas.microsoft.com/office/drawing/2014/main" id="{3523B8ED-73E4-FD02-1204-6C85C29F18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8520" y="22860"/>
              <a:ext cx="18720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457200</xdr:colOff>
      <xdr:row>0</xdr:row>
      <xdr:rowOff>1</xdr:rowOff>
    </xdr:from>
    <xdr:to>
      <xdr:col>24</xdr:col>
      <xdr:colOff>556426</xdr:colOff>
      <xdr:row>11</xdr:row>
      <xdr:rowOff>137161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ategoria 1">
              <a:extLst>
                <a:ext uri="{FF2B5EF4-FFF2-40B4-BE49-F238E27FC236}">
                  <a16:creationId xmlns:a16="http://schemas.microsoft.com/office/drawing/2014/main" id="{5E2FB5CD-5ED4-41E5-BE70-A05656241D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8800" y="1"/>
              <a:ext cx="1928026" cy="2148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91440</xdr:colOff>
      <xdr:row>2</xdr:row>
      <xdr:rowOff>53340</xdr:rowOff>
    </xdr:from>
    <xdr:to>
      <xdr:col>5</xdr:col>
      <xdr:colOff>571500</xdr:colOff>
      <xdr:row>11</xdr:row>
      <xdr:rowOff>160020</xdr:rowOff>
    </xdr:to>
    <xdr:sp macro="" textlink="Calcoli_Pivot!B9">
      <xdr:nvSpPr>
        <xdr:cNvPr id="11" name="Rettangolo con angoli arrotondati 10">
          <a:extLst>
            <a:ext uri="{FF2B5EF4-FFF2-40B4-BE49-F238E27FC236}">
              <a16:creationId xmlns:a16="http://schemas.microsoft.com/office/drawing/2014/main" id="{232B9280-2DE5-FB15-F9A8-1BF12F865D2C}"/>
            </a:ext>
          </a:extLst>
        </xdr:cNvPr>
        <xdr:cNvSpPr/>
      </xdr:nvSpPr>
      <xdr:spPr>
        <a:xfrm>
          <a:off x="91440" y="419100"/>
          <a:ext cx="3528060" cy="1752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Fatturato totale</a:t>
          </a:r>
          <a:fld id="{5A9FDE67-A5B4-4921-8D43-C37DB88B4AA2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29.020,00 € </a:t>
          </a:fld>
          <a:endParaRPr lang="it-IT" sz="28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106680</xdr:colOff>
      <xdr:row>2</xdr:row>
      <xdr:rowOff>53340</xdr:rowOff>
    </xdr:from>
    <xdr:to>
      <xdr:col>14</xdr:col>
      <xdr:colOff>106680</xdr:colOff>
      <xdr:row>12</xdr:row>
      <xdr:rowOff>15240</xdr:rowOff>
    </xdr:to>
    <xdr:sp macro="" textlink="Calcoli_Pivot!C9">
      <xdr:nvSpPr>
        <xdr:cNvPr id="12" name="Rettangolo con angoli arrotondati 11">
          <a:extLst>
            <a:ext uri="{FF2B5EF4-FFF2-40B4-BE49-F238E27FC236}">
              <a16:creationId xmlns:a16="http://schemas.microsoft.com/office/drawing/2014/main" id="{0B4F6DEF-3EA5-4F50-9081-C06605329CCC}"/>
            </a:ext>
          </a:extLst>
        </xdr:cNvPr>
        <xdr:cNvSpPr/>
      </xdr:nvSpPr>
      <xdr:spPr>
        <a:xfrm>
          <a:off x="4983480" y="419100"/>
          <a:ext cx="3657600" cy="17907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Profitto totale</a:t>
          </a:r>
        </a:p>
        <a:p>
          <a:pPr algn="ctr"/>
          <a:fld id="{AA4F7441-B780-4933-9F66-9D697BA9FB13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7.330,00 € </a:t>
          </a:fld>
          <a:endParaRPr lang="it-IT" sz="28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175260</xdr:colOff>
      <xdr:row>2</xdr:row>
      <xdr:rowOff>83820</xdr:rowOff>
    </xdr:from>
    <xdr:to>
      <xdr:col>21</xdr:col>
      <xdr:colOff>541020</xdr:colOff>
      <xdr:row>11</xdr:row>
      <xdr:rowOff>160020</xdr:rowOff>
    </xdr:to>
    <xdr:sp macro="" textlink="Calcoli_Pivot!D9">
      <xdr:nvSpPr>
        <xdr:cNvPr id="13" name="Rettangolo con angoli arrotondati 12">
          <a:extLst>
            <a:ext uri="{FF2B5EF4-FFF2-40B4-BE49-F238E27FC236}">
              <a16:creationId xmlns:a16="http://schemas.microsoft.com/office/drawing/2014/main" id="{B87846D0-3A4A-4737-8BBA-911D0833122B}"/>
            </a:ext>
          </a:extLst>
        </xdr:cNvPr>
        <xdr:cNvSpPr/>
      </xdr:nvSpPr>
      <xdr:spPr>
        <a:xfrm>
          <a:off x="9928860" y="449580"/>
          <a:ext cx="3413760" cy="172212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Margine</a:t>
          </a:r>
          <a:r>
            <a:rPr lang="en-US" sz="2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%</a:t>
          </a:r>
        </a:p>
        <a:p>
          <a:pPr algn="ctr"/>
          <a:fld id="{CD98BE77-7359-4FD7-8F10-8AA1FB69DA3F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25,26%</a:t>
          </a:fld>
          <a:endParaRPr lang="it-IT" sz="28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1" refreshedDate="46306.405007870373" createdVersion="8" refreshedVersion="8" minRefreshableVersion="3" recordCount="25" xr:uid="{6B221214-68DD-48FA-AE5A-706A021E52C2}">
  <cacheSource type="worksheet">
    <worksheetSource name="TabellaVendite"/>
  </cacheSource>
  <cacheFields count="15">
    <cacheField name="ID_Ordine" numFmtId="0">
      <sharedItems/>
    </cacheField>
    <cacheField name="Data" numFmtId="14">
      <sharedItems containsSemiMixedTypes="0" containsNonDate="0" containsDate="1" containsString="0" minDate="2026-01-10T00:00:00" maxDate="2026-03-29T00:00:00" count="25"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2-02T00:00:00"/>
        <d v="2026-02-05T00:00:00"/>
        <d v="2026-02-08T00:00:00"/>
        <d v="2026-02-10T00:00:00"/>
        <d v="2026-02-14T00:00:00"/>
        <d v="2026-02-18T00:00:00"/>
        <d v="2026-02-22T00:00:00"/>
        <d v="2026-02-25T00:00:00"/>
        <d v="2026-03-01T00:00:00"/>
        <d v="2026-03-04T00:00:00"/>
        <d v="2026-03-08T00:00:00"/>
        <d v="2026-03-12T00:00:00"/>
        <d v="2026-03-15T00:00:00"/>
        <d v="2026-03-18T00:00:00"/>
        <d v="2026-03-22T00:00:00"/>
        <d v="2026-03-25T00:00:00"/>
        <d v="2026-03-28T00:00:00"/>
      </sharedItems>
      <fieldGroup par="14" base="1">
        <rangePr groupBy="days" startDate="2026-01-10T00:00:00" endDate="2026-03-29T00:00:00"/>
        <groupItems count="368">
          <s v="&lt;10/01/2026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9/03/2026"/>
        </groupItems>
      </fieldGroup>
    </cacheField>
    <cacheField name="Categoria" numFmtId="0">
      <sharedItems count="5">
        <s v="Smartphone"/>
        <s v="Laptop"/>
        <s v="Audio"/>
        <s v="Gaming"/>
        <s v="Wearable"/>
      </sharedItems>
    </cacheField>
    <cacheField name="Prodotto" numFmtId="0">
      <sharedItems/>
    </cacheField>
    <cacheField name="Prezzo_Unitario" numFmtId="8">
      <sharedItems containsSemiMixedTypes="0" containsString="0" containsNumber="1" containsInteger="1" minValue="80" maxValue="1600"/>
    </cacheField>
    <cacheField name="Quantita" numFmtId="0">
      <sharedItems containsSemiMixedTypes="0" containsString="0" containsNumber="1" containsInteger="1" minValue="1" maxValue="6"/>
    </cacheField>
    <cacheField name="Costo_Unitario" numFmtId="8">
      <sharedItems containsSemiMixedTypes="0" containsString="0" containsNumber="1" containsInteger="1" minValue="45" maxValue="1300"/>
    </cacheField>
    <cacheField name="Canale" numFmtId="0">
      <sharedItems count="2">
        <s v="Online"/>
        <s v="Store Fisico"/>
      </sharedItems>
    </cacheField>
    <cacheField name="Regione" numFmtId="0">
      <sharedItems count="3">
        <s v="Nord"/>
        <s v="Centro"/>
        <s v="Sud"/>
      </sharedItems>
    </cacheField>
    <cacheField name="Valutazione" numFmtId="0">
      <sharedItems containsSemiMixedTypes="0" containsString="0" containsNumber="1" containsInteger="1" minValue="3" maxValue="5"/>
    </cacheField>
    <cacheField name="Fatturato" numFmtId="8">
      <sharedItems containsSemiMixedTypes="0" containsString="0" containsNumber="1" containsInteger="1" minValue="320" maxValue="2400" count="20">
        <n v="2400"/>
        <n v="1150"/>
        <n v="840"/>
        <n v="1000"/>
        <n v="450"/>
        <n v="1900"/>
        <n v="1300"/>
        <n v="1400"/>
        <n v="600"/>
        <n v="2100"/>
        <n v="640"/>
        <n v="320"/>
        <n v="790"/>
        <n v="1600"/>
        <n v="900"/>
        <n v="780"/>
        <n v="700"/>
        <n v="960"/>
        <n v="740"/>
        <n v="1700"/>
      </sharedItems>
    </cacheField>
    <cacheField name="Costo totale" numFmtId="8">
      <sharedItems containsSemiMixedTypes="0" containsString="0" containsNumber="1" containsInteger="1" minValue="180" maxValue="1900"/>
    </cacheField>
    <cacheField name="Profitto" numFmtId="8">
      <sharedItems containsSemiMixedTypes="0" containsString="0" containsNumber="1" containsInteger="1" minValue="130" maxValue="540"/>
    </cacheField>
    <cacheField name="Margine %" numFmtId="0">
      <sharedItems containsSemiMixedTypes="0" containsString="0" containsNumber="1" minValue="0.1875" maxValue="0.4375"/>
    </cacheField>
    <cacheField name="Mesi" numFmtId="0" databaseField="0">
      <fieldGroup base="1">
        <rangePr groupBy="months" startDate="2026-01-10T00:00:00" endDate="2026-03-29T00:00:00"/>
        <groupItems count="14">
          <s v="&lt;10/01/202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9/03/2026"/>
        </groupItems>
      </fieldGroup>
    </cacheField>
  </cacheFields>
  <extLst>
    <ext xmlns:x14="http://schemas.microsoft.com/office/spreadsheetml/2009/9/main" uri="{725AE2AE-9491-48be-B2B4-4EB974FC3084}">
      <x14:pivotCacheDefinition pivotCacheId="5219524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ORD-1001"/>
    <x v="0"/>
    <x v="0"/>
    <s v="iPhone 15 Pro"/>
    <n v="1200"/>
    <n v="2"/>
    <n v="950"/>
    <x v="0"/>
    <x v="0"/>
    <n v="5"/>
    <x v="0"/>
    <n v="1900"/>
    <n v="500"/>
    <n v="0.20833333333333334"/>
  </r>
  <r>
    <s v="ORD-1002"/>
    <x v="1"/>
    <x v="1"/>
    <s v="MacBook Air M2"/>
    <n v="1150"/>
    <n v="1"/>
    <n v="900"/>
    <x v="1"/>
    <x v="1"/>
    <n v="4"/>
    <x v="1"/>
    <n v="900"/>
    <n v="250"/>
    <n v="0.21739130434782608"/>
  </r>
  <r>
    <s v="ORD-1003"/>
    <x v="2"/>
    <x v="2"/>
    <s v="AirPods Pro 2"/>
    <n v="280"/>
    <n v="3"/>
    <n v="180"/>
    <x v="0"/>
    <x v="2"/>
    <n v="5"/>
    <x v="2"/>
    <n v="540"/>
    <n v="300"/>
    <n v="0.35714285714285715"/>
  </r>
  <r>
    <s v="ORD-1004"/>
    <x v="3"/>
    <x v="3"/>
    <s v="Console PS5"/>
    <n v="500"/>
    <n v="2"/>
    <n v="400"/>
    <x v="0"/>
    <x v="0"/>
    <n v="4"/>
    <x v="3"/>
    <n v="800"/>
    <n v="200"/>
    <n v="0.2"/>
  </r>
  <r>
    <s v="ORD-1005"/>
    <x v="4"/>
    <x v="4"/>
    <s v="Smartwatch Series 9"/>
    <n v="450"/>
    <n v="1"/>
    <n v="320"/>
    <x v="1"/>
    <x v="0"/>
    <n v="3"/>
    <x v="4"/>
    <n v="320"/>
    <n v="130"/>
    <n v="0.28888888888888886"/>
  </r>
  <r>
    <s v="ORD-1006"/>
    <x v="5"/>
    <x v="0"/>
    <s v="Samsung Galaxy S24"/>
    <n v="950"/>
    <n v="2"/>
    <n v="750"/>
    <x v="0"/>
    <x v="1"/>
    <n v="5"/>
    <x v="5"/>
    <n v="1500"/>
    <n v="400"/>
    <n v="0.21052631578947367"/>
  </r>
  <r>
    <s v="ORD-1007"/>
    <x v="6"/>
    <x v="1"/>
    <s v="Dell XPS 13"/>
    <n v="1300"/>
    <n v="1"/>
    <n v="1050"/>
    <x v="0"/>
    <x v="2"/>
    <n v="4"/>
    <x v="6"/>
    <n v="1050"/>
    <n v="250"/>
    <n v="0.19230769230769232"/>
  </r>
  <r>
    <s v="ORD-1008"/>
    <x v="7"/>
    <x v="2"/>
    <s v="Sony WH-1000XM5"/>
    <n v="350"/>
    <n v="4"/>
    <n v="220"/>
    <x v="1"/>
    <x v="0"/>
    <n v="5"/>
    <x v="7"/>
    <n v="880"/>
    <n v="520"/>
    <n v="0.37142857142857144"/>
  </r>
  <r>
    <s v="ORD-1009"/>
    <x v="8"/>
    <x v="3"/>
    <s v="Tastiera Meccanica RGB"/>
    <n v="120"/>
    <n v="5"/>
    <n v="70"/>
    <x v="0"/>
    <x v="1"/>
    <n v="4"/>
    <x v="8"/>
    <n v="350"/>
    <n v="250"/>
    <n v="0.41666666666666669"/>
  </r>
  <r>
    <s v="ORD-1010"/>
    <x v="9"/>
    <x v="4"/>
    <s v="Garmin Forerunner"/>
    <n v="300"/>
    <n v="2"/>
    <n v="210"/>
    <x v="0"/>
    <x v="2"/>
    <n v="5"/>
    <x v="8"/>
    <n v="420"/>
    <n v="180"/>
    <n v="0.3"/>
  </r>
  <r>
    <s v="ORD-1011"/>
    <x v="10"/>
    <x v="0"/>
    <s v="Google Pixel 8"/>
    <n v="800"/>
    <n v="3"/>
    <n v="620"/>
    <x v="0"/>
    <x v="0"/>
    <n v="4"/>
    <x v="0"/>
    <n v="1860"/>
    <n v="540"/>
    <n v="0.22500000000000001"/>
  </r>
  <r>
    <s v="ORD-1012"/>
    <x v="11"/>
    <x v="1"/>
    <s v="Lenovo ThinkPad"/>
    <n v="1050"/>
    <n v="2"/>
    <n v="820"/>
    <x v="1"/>
    <x v="2"/>
    <n v="5"/>
    <x v="9"/>
    <n v="1640"/>
    <n v="460"/>
    <n v="0.21904761904761905"/>
  </r>
  <r>
    <s v="ORD-1013"/>
    <x v="12"/>
    <x v="2"/>
    <s v="Bose QuietComfort"/>
    <n v="320"/>
    <n v="2"/>
    <n v="210"/>
    <x v="0"/>
    <x v="0"/>
    <n v="5"/>
    <x v="10"/>
    <n v="420"/>
    <n v="220"/>
    <n v="0.34375"/>
  </r>
  <r>
    <s v="ORD-1014"/>
    <x v="13"/>
    <x v="3"/>
    <s v="Mouse Gaming Pro"/>
    <n v="80"/>
    <n v="4"/>
    <n v="45"/>
    <x v="1"/>
    <x v="1"/>
    <n v="4"/>
    <x v="11"/>
    <n v="180"/>
    <n v="140"/>
    <n v="0.4375"/>
  </r>
  <r>
    <s v="ORD-1015"/>
    <x v="14"/>
    <x v="0"/>
    <s v="Xiaomi 14"/>
    <n v="790"/>
    <n v="1"/>
    <n v="580"/>
    <x v="0"/>
    <x v="0"/>
    <n v="4"/>
    <x v="12"/>
    <n v="580"/>
    <n v="210"/>
    <n v="0.26582278481012656"/>
  </r>
  <r>
    <s v="ORD-1016"/>
    <x v="15"/>
    <x v="1"/>
    <s v="ASUS ROG Strix"/>
    <n v="1600"/>
    <n v="1"/>
    <n v="1300"/>
    <x v="0"/>
    <x v="2"/>
    <n v="5"/>
    <x v="13"/>
    <n v="1300"/>
    <n v="300"/>
    <n v="0.1875"/>
  </r>
  <r>
    <s v="ORD-1017"/>
    <x v="16"/>
    <x v="4"/>
    <s v="Apple Watch Ultra 2"/>
    <n v="900"/>
    <n v="1"/>
    <n v="720"/>
    <x v="1"/>
    <x v="0"/>
    <n v="5"/>
    <x v="14"/>
    <n v="720"/>
    <n v="180"/>
    <n v="0.2"/>
  </r>
  <r>
    <s v="ORD-1018"/>
    <x v="17"/>
    <x v="2"/>
    <s v="JBL Flip 6"/>
    <n v="130"/>
    <n v="6"/>
    <n v="80"/>
    <x v="0"/>
    <x v="1"/>
    <n v="4"/>
    <x v="15"/>
    <n v="480"/>
    <n v="300"/>
    <n v="0.38461538461538464"/>
  </r>
  <r>
    <s v="ORD-1019"/>
    <x v="18"/>
    <x v="3"/>
    <s v="Monitor Gaming 27&quot;"/>
    <n v="350"/>
    <n v="2"/>
    <n v="260"/>
    <x v="0"/>
    <x v="0"/>
    <n v="5"/>
    <x v="16"/>
    <n v="520"/>
    <n v="180"/>
    <n v="0.25714285714285712"/>
  </r>
  <r>
    <s v="ORD-1020"/>
    <x v="19"/>
    <x v="0"/>
    <s v="iPhone 15"/>
    <n v="950"/>
    <n v="2"/>
    <n v="750"/>
    <x v="1"/>
    <x v="2"/>
    <n v="4"/>
    <x v="5"/>
    <n v="1500"/>
    <n v="400"/>
    <n v="0.21052631578947367"/>
  </r>
  <r>
    <s v="ORD-1021"/>
    <x v="20"/>
    <x v="1"/>
    <s v="HP Spectre x360"/>
    <n v="1400"/>
    <n v="1"/>
    <n v="1100"/>
    <x v="0"/>
    <x v="1"/>
    <n v="5"/>
    <x v="7"/>
    <n v="1100"/>
    <n v="300"/>
    <n v="0.21428571428571427"/>
  </r>
  <r>
    <s v="ORD-1022"/>
    <x v="21"/>
    <x v="4"/>
    <s v="Samsung Galaxy Watch 6"/>
    <n v="320"/>
    <n v="3"/>
    <n v="220"/>
    <x v="0"/>
    <x v="0"/>
    <n v="4"/>
    <x v="17"/>
    <n v="660"/>
    <n v="300"/>
    <n v="0.3125"/>
  </r>
  <r>
    <s v="ORD-1023"/>
    <x v="22"/>
    <x v="2"/>
    <s v="Sennheiser Momentum 4"/>
    <n v="370"/>
    <n v="2"/>
    <n v="250"/>
    <x v="1"/>
    <x v="0"/>
    <n v="4"/>
    <x v="18"/>
    <n v="500"/>
    <n v="240"/>
    <n v="0.32432432432432434"/>
  </r>
  <r>
    <s v="ORD-1024"/>
    <x v="23"/>
    <x v="3"/>
    <s v="Cuffie Gaming Wireless"/>
    <n v="150"/>
    <n v="3"/>
    <n v="90"/>
    <x v="0"/>
    <x v="2"/>
    <n v="5"/>
    <x v="4"/>
    <n v="270"/>
    <n v="180"/>
    <n v="0.4"/>
  </r>
  <r>
    <s v="ORD-1025"/>
    <x v="24"/>
    <x v="0"/>
    <s v="OnePlus 12"/>
    <n v="850"/>
    <n v="2"/>
    <n v="650"/>
    <x v="0"/>
    <x v="1"/>
    <n v="4"/>
    <x v="19"/>
    <n v="1300"/>
    <n v="400"/>
    <n v="0.23529411764705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C3C1D-4522-4BBE-ACB2-520432CF3A9B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4">
  <location ref="E3:F7" firstHeaderRow="1" firstDataRow="1" firstDataCol="1"/>
  <pivotFields count="15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numFmtId="8" showAll="0"/>
    <pivotField showAll="0"/>
    <pivotField numFmtId="8"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numFmtId="8" showAll="0"/>
    <pivotField numFmtId="8" showAll="0"/>
    <pivotField numFmtId="8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a di Fatturato" fld="10" baseField="0" baseItem="0"/>
  </dataFields>
  <formats count="4">
    <format dxfId="3">
      <pivotArea collapsedLevelsAreSubtotals="1" fieldPosition="0">
        <references count="1">
          <reference field="14" count="1">
            <x v="1"/>
          </reference>
        </references>
      </pivotArea>
    </format>
    <format dxfId="2">
      <pivotArea collapsedLevelsAreSubtotals="1" fieldPosition="0">
        <references count="1">
          <reference field="14" count="1">
            <x v="2"/>
          </reference>
        </references>
      </pivotArea>
    </format>
    <format dxfId="1">
      <pivotArea collapsedLevelsAreSubtotals="1" fieldPosition="0">
        <references count="1">
          <reference field="14" count="1">
            <x v="3"/>
          </reference>
        </references>
      </pivotArea>
    </format>
    <format dxfId="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C7712-45DA-40D5-9B53-C8C2E4492415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C9" firstHeaderRow="0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numFmtId="8" showAll="0"/>
    <pivotField showAll="0"/>
    <pivotField numFmtId="8" showAll="0"/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numFmtId="8" showAll="0"/>
    <pivotField numFmtId="8" showAll="0"/>
    <pivotField dataField="1" numFmtId="8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Fatturato" fld="10" baseField="0" baseItem="0"/>
    <dataField name="Somma di Profitto" fld="12" baseField="0" baseItem="0"/>
  </dataFields>
  <formats count="2">
    <format dxfId="5">
      <pivotArea collapsedLevelsAreSubtotals="1" fieldPosition="0">
        <references count="1">
          <reference field="2" count="0"/>
        </references>
      </pivotArea>
    </format>
    <format dxfId="4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B56A1-88C4-4FF8-8FF5-68599B8014D2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I3:M7" firstHeaderRow="1" firstDataRow="2" firstDataCol="1"/>
  <pivotFields count="15">
    <pivotField showAll="0"/>
    <pivotField numFmtId="14"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numFmtId="8" showAll="0"/>
    <pivotField showAll="0"/>
    <pivotField numFmtId="8"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dataField="1" numFmtId="8" showAll="0"/>
    <pivotField numFmtId="8" showAll="0"/>
    <pivotField numFmtId="8" showAll="0"/>
    <pivotField showAll="0"/>
    <pivotField showAll="0" defaultSubtotal="0"/>
  </pivotFields>
  <rowFields count="1">
    <field x="7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omma di Fatturato" fld="10" baseField="0" baseItem="0"/>
  </dataFields>
  <formats count="3">
    <format dxfId="8">
      <pivotArea collapsedLevelsAreSubtotals="1" fieldPosition="0">
        <references count="2">
          <reference field="7" count="0"/>
          <reference field="8" count="0" selected="0"/>
        </references>
      </pivotArea>
    </format>
    <format dxfId="7">
      <pivotArea field="7" grandCol="1" collapsedLevelsAreSubtotals="1" axis="axisRow" fieldPosition="0">
        <references count="1">
          <reference field="7" count="0"/>
        </references>
      </pivotArea>
    </format>
    <format dxfId="6">
      <pivotArea grandRow="1" outline="0" collapsedLevelsAreSubtotals="1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nale" xr10:uid="{13D9E931-AC70-42FF-869D-8F1A36529858}" sourceName="Canale">
  <pivotTables>
    <pivotTable tabId="2" name="Tabella pivot1"/>
    <pivotTable tabId="2" name="Tabella pivot2"/>
    <pivotTable tabId="2" name="Tabella pivot3"/>
  </pivotTables>
  <data>
    <tabular pivotCacheId="52195246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e" xr10:uid="{72B518E5-16F8-4B6E-8DC4-8A0529772BBA}" sourceName="Regione">
  <pivotTables>
    <pivotTable tabId="2" name="Tabella pivot1"/>
    <pivotTable tabId="2" name="Tabella pivot2"/>
    <pivotTable tabId="2" name="Tabella pivot3"/>
  </pivotTables>
  <data>
    <tabular pivotCacheId="521952464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" xr10:uid="{FA8CDB00-A844-450E-81E8-A01DDBBB4195}" sourceName="Categoria">
  <pivotTables>
    <pivotTable tabId="2" name="Tabella pivot1"/>
    <pivotTable tabId="2" name="Tabella pivot2"/>
    <pivotTable tabId="2" name="Tabella pivot3"/>
  </pivotTables>
  <data>
    <tabular pivotCacheId="521952464">
      <items count="5">
        <i x="2" s="1"/>
        <i x="3" s="1"/>
        <i x="1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e" xr10:uid="{F75C2E45-AC9F-4887-8481-38694804A2E0}" cache="FiltroDati_Canale" caption="Canale" columnCount="2" rowHeight="234950"/>
  <slicer name="Regione 1" xr10:uid="{FE84F679-A1D1-4C3B-998F-A7C4A229F4C8}" cache="FiltroDati_Regione" caption="Regione" columnCount="3" rowHeight="234950"/>
  <slicer name="Categoria 1" xr10:uid="{91FBD625-C89B-4F42-A94C-FBD8F230DB4B}" cache="FiltroDati_Categoria" caption="Categoria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6BA59-F84C-4AF0-A04D-0A7172655C83}" name="TabellaVendite" displayName="TabellaVendite" ref="A1:N26" totalsRowShown="0" headerRowDxfId="23" tableBorderDxfId="22">
  <autoFilter ref="A1:N26" xr:uid="{AD46BA59-F84C-4AF0-A04D-0A7172655C83}"/>
  <tableColumns count="14">
    <tableColumn id="1" xr3:uid="{5C1DE919-DE01-41A0-919D-06EBA8CAC3DB}" name="ID_Ordine" dataDxfId="21"/>
    <tableColumn id="2" xr3:uid="{2B86636E-77FB-40B0-A27E-26F4CA91BA2A}" name="Data" dataDxfId="20"/>
    <tableColumn id="3" xr3:uid="{BBE89785-07DD-4656-BF1D-F4DFE5CFF2A1}" name="Categoria" dataDxfId="19"/>
    <tableColumn id="4" xr3:uid="{D34493B0-6E26-463F-83F5-355372B0850A}" name="Prodotto" dataDxfId="18"/>
    <tableColumn id="5" xr3:uid="{32875D64-3E4A-458B-A004-689C69F14E59}" name="Prezzo_Unitario" dataDxfId="17"/>
    <tableColumn id="6" xr3:uid="{6EC45346-C95E-44BE-941C-CA7B4489DCCF}" name="Quantita" dataDxfId="16"/>
    <tableColumn id="7" xr3:uid="{33709279-08AC-45F2-9025-2B9C153D67A5}" name="Costo_Unitario" dataDxfId="15"/>
    <tableColumn id="8" xr3:uid="{06080622-C4B9-48D2-9A44-8B051002753E}" name="Canale" dataDxfId="14"/>
    <tableColumn id="9" xr3:uid="{A54B3100-BB7E-4729-BCAD-94E144DF4A7B}" name="Regione" dataDxfId="13"/>
    <tableColumn id="10" xr3:uid="{E9349689-100C-4CDC-94F4-E8A65FE60D5A}" name="Valutazione" dataDxfId="12"/>
    <tableColumn id="11" xr3:uid="{8AE251B0-3A3F-4A19-8219-A4E2D01E2CF6}" name="Fatturato" dataDxfId="11">
      <calculatedColumnFormula>E2*F2</calculatedColumnFormula>
    </tableColumn>
    <tableColumn id="12" xr3:uid="{1F429476-C70C-4045-A60B-CA0DC3D6BAFA}" name="Costo totale" dataDxfId="10">
      <calculatedColumnFormula>G2*F2</calculatedColumnFormula>
    </tableColumn>
    <tableColumn id="13" xr3:uid="{9F1FE222-EAB0-4FDF-BA86-539958153A07}" name="Profitto" dataDxfId="9">
      <calculatedColumnFormula>K2-L2</calculatedColumnFormula>
    </tableColumn>
    <tableColumn id="14" xr3:uid="{C13708E0-8244-4345-9045-09FD0867E2C3}" name="Margine %">
      <calculatedColumnFormula>M2/K2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07F4-61EF-4CBD-9E50-966081042814}">
  <dimension ref="A1:N26"/>
  <sheetViews>
    <sheetView workbookViewId="0">
      <selection sqref="A1:N26"/>
    </sheetView>
  </sheetViews>
  <sheetFormatPr defaultRowHeight="14.4" x14ac:dyDescent="0.3"/>
  <cols>
    <col min="1" max="1" width="11.33203125" customWidth="1"/>
    <col min="2" max="2" width="10.5546875" bestFit="1" customWidth="1"/>
    <col min="3" max="3" width="10.88671875" bestFit="1" customWidth="1"/>
    <col min="4" max="4" width="21.5546875" bestFit="1" customWidth="1"/>
    <col min="5" max="5" width="16.109375" customWidth="1"/>
    <col min="6" max="6" width="10.21875" customWidth="1"/>
    <col min="7" max="7" width="15.44140625" customWidth="1"/>
    <col min="8" max="8" width="10.33203125" bestFit="1" customWidth="1"/>
    <col min="9" max="9" width="9.6640625" customWidth="1"/>
    <col min="10" max="10" width="12.77734375" customWidth="1"/>
    <col min="11" max="11" width="10.6640625" customWidth="1"/>
    <col min="12" max="12" width="13" customWidth="1"/>
    <col min="13" max="13" width="9.33203125" customWidth="1"/>
    <col min="14" max="14" width="12" bestFit="1" customWidth="1"/>
  </cols>
  <sheetData>
    <row r="1" spans="1:14" x14ac:dyDescent="0.3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70</v>
      </c>
      <c r="L1" s="6" t="s">
        <v>71</v>
      </c>
      <c r="M1" s="6" t="s">
        <v>72</v>
      </c>
      <c r="N1" s="6" t="s">
        <v>73</v>
      </c>
    </row>
    <row r="2" spans="1:14" x14ac:dyDescent="0.3">
      <c r="A2" s="8" t="s">
        <v>10</v>
      </c>
      <c r="B2" s="3">
        <v>46032</v>
      </c>
      <c r="C2" s="2" t="s">
        <v>11</v>
      </c>
      <c r="D2" s="2" t="s">
        <v>12</v>
      </c>
      <c r="E2" s="4">
        <v>1200</v>
      </c>
      <c r="F2" s="2">
        <v>2</v>
      </c>
      <c r="G2" s="4">
        <v>950</v>
      </c>
      <c r="H2" s="2" t="s">
        <v>13</v>
      </c>
      <c r="I2" s="2" t="s">
        <v>14</v>
      </c>
      <c r="J2" s="2">
        <v>5</v>
      </c>
      <c r="K2" s="1">
        <f>E2*F2</f>
        <v>2400</v>
      </c>
      <c r="L2" s="1">
        <f>G2*F2</f>
        <v>1900</v>
      </c>
      <c r="M2" s="1">
        <f>K2-L2</f>
        <v>500</v>
      </c>
      <c r="N2">
        <f>M2/K2</f>
        <v>0.20833333333333334</v>
      </c>
    </row>
    <row r="3" spans="1:14" x14ac:dyDescent="0.3">
      <c r="A3" s="8" t="s">
        <v>15</v>
      </c>
      <c r="B3" s="3">
        <v>46034</v>
      </c>
      <c r="C3" s="2" t="s">
        <v>16</v>
      </c>
      <c r="D3" s="2" t="s">
        <v>17</v>
      </c>
      <c r="E3" s="4">
        <v>1150</v>
      </c>
      <c r="F3" s="2">
        <v>1</v>
      </c>
      <c r="G3" s="4">
        <v>900</v>
      </c>
      <c r="H3" s="2" t="s">
        <v>18</v>
      </c>
      <c r="I3" s="2" t="s">
        <v>19</v>
      </c>
      <c r="J3" s="2">
        <v>4</v>
      </c>
      <c r="K3" s="1">
        <f t="shared" ref="K3:K26" si="0">E3*F3</f>
        <v>1150</v>
      </c>
      <c r="L3" s="1">
        <f t="shared" ref="L3:L26" si="1">G3*F3</f>
        <v>900</v>
      </c>
      <c r="M3" s="1">
        <f t="shared" ref="M3:M25" si="2">K3-L3</f>
        <v>250</v>
      </c>
      <c r="N3">
        <f t="shared" ref="N3:N26" si="3">M3/K3</f>
        <v>0.21739130434782608</v>
      </c>
    </row>
    <row r="4" spans="1:14" x14ac:dyDescent="0.3">
      <c r="A4" s="8" t="s">
        <v>20</v>
      </c>
      <c r="B4" s="3">
        <v>46037</v>
      </c>
      <c r="C4" s="2" t="s">
        <v>21</v>
      </c>
      <c r="D4" s="2" t="s">
        <v>22</v>
      </c>
      <c r="E4" s="4">
        <v>280</v>
      </c>
      <c r="F4" s="2">
        <v>3</v>
      </c>
      <c r="G4" s="4">
        <v>180</v>
      </c>
      <c r="H4" s="2" t="s">
        <v>13</v>
      </c>
      <c r="I4" s="2" t="s">
        <v>23</v>
      </c>
      <c r="J4" s="2">
        <v>5</v>
      </c>
      <c r="K4" s="1">
        <f t="shared" si="0"/>
        <v>840</v>
      </c>
      <c r="L4" s="1">
        <f t="shared" si="1"/>
        <v>540</v>
      </c>
      <c r="M4" s="1">
        <f t="shared" si="2"/>
        <v>300</v>
      </c>
      <c r="N4">
        <f t="shared" si="3"/>
        <v>0.35714285714285715</v>
      </c>
    </row>
    <row r="5" spans="1:14" x14ac:dyDescent="0.3">
      <c r="A5" s="8" t="s">
        <v>24</v>
      </c>
      <c r="B5" s="3">
        <v>46040</v>
      </c>
      <c r="C5" s="2" t="s">
        <v>25</v>
      </c>
      <c r="D5" s="2" t="s">
        <v>26</v>
      </c>
      <c r="E5" s="4">
        <v>500</v>
      </c>
      <c r="F5" s="2">
        <v>2</v>
      </c>
      <c r="G5" s="4">
        <v>400</v>
      </c>
      <c r="H5" s="2" t="s">
        <v>13</v>
      </c>
      <c r="I5" s="2" t="s">
        <v>14</v>
      </c>
      <c r="J5" s="2">
        <v>4</v>
      </c>
      <c r="K5" s="1">
        <f t="shared" si="0"/>
        <v>1000</v>
      </c>
      <c r="L5" s="1">
        <f t="shared" si="1"/>
        <v>800</v>
      </c>
      <c r="M5" s="1">
        <f t="shared" si="2"/>
        <v>200</v>
      </c>
      <c r="N5">
        <f t="shared" si="3"/>
        <v>0.2</v>
      </c>
    </row>
    <row r="6" spans="1:14" x14ac:dyDescent="0.3">
      <c r="A6" s="8" t="s">
        <v>27</v>
      </c>
      <c r="B6" s="3">
        <v>46042</v>
      </c>
      <c r="C6" s="2" t="s">
        <v>28</v>
      </c>
      <c r="D6" s="2" t="s">
        <v>29</v>
      </c>
      <c r="E6" s="4">
        <v>450</v>
      </c>
      <c r="F6" s="2">
        <v>1</v>
      </c>
      <c r="G6" s="4">
        <v>320</v>
      </c>
      <c r="H6" s="2" t="s">
        <v>18</v>
      </c>
      <c r="I6" s="2" t="s">
        <v>14</v>
      </c>
      <c r="J6" s="2">
        <v>3</v>
      </c>
      <c r="K6" s="1">
        <f t="shared" si="0"/>
        <v>450</v>
      </c>
      <c r="L6" s="1">
        <f t="shared" si="1"/>
        <v>320</v>
      </c>
      <c r="M6" s="1">
        <f t="shared" si="2"/>
        <v>130</v>
      </c>
      <c r="N6">
        <f t="shared" si="3"/>
        <v>0.28888888888888886</v>
      </c>
    </row>
    <row r="7" spans="1:14" x14ac:dyDescent="0.3">
      <c r="A7" s="8" t="s">
        <v>30</v>
      </c>
      <c r="B7" s="3">
        <v>46044</v>
      </c>
      <c r="C7" s="2" t="s">
        <v>11</v>
      </c>
      <c r="D7" s="2" t="s">
        <v>31</v>
      </c>
      <c r="E7" s="4">
        <v>950</v>
      </c>
      <c r="F7" s="2">
        <v>2</v>
      </c>
      <c r="G7" s="4">
        <v>750</v>
      </c>
      <c r="H7" s="2" t="s">
        <v>13</v>
      </c>
      <c r="I7" s="2" t="s">
        <v>19</v>
      </c>
      <c r="J7" s="2">
        <v>5</v>
      </c>
      <c r="K7" s="1">
        <f t="shared" si="0"/>
        <v>1900</v>
      </c>
      <c r="L7" s="1">
        <f t="shared" si="1"/>
        <v>1500</v>
      </c>
      <c r="M7" s="1">
        <f t="shared" si="2"/>
        <v>400</v>
      </c>
      <c r="N7">
        <f t="shared" si="3"/>
        <v>0.21052631578947367</v>
      </c>
    </row>
    <row r="8" spans="1:14" x14ac:dyDescent="0.3">
      <c r="A8" s="8" t="s">
        <v>32</v>
      </c>
      <c r="B8" s="3">
        <v>46047</v>
      </c>
      <c r="C8" s="2" t="s">
        <v>16</v>
      </c>
      <c r="D8" s="2" t="s">
        <v>33</v>
      </c>
      <c r="E8" s="4">
        <v>1300</v>
      </c>
      <c r="F8" s="2">
        <v>1</v>
      </c>
      <c r="G8" s="4">
        <v>1050</v>
      </c>
      <c r="H8" s="2" t="s">
        <v>13</v>
      </c>
      <c r="I8" s="2" t="s">
        <v>23</v>
      </c>
      <c r="J8" s="2">
        <v>4</v>
      </c>
      <c r="K8" s="1">
        <f t="shared" si="0"/>
        <v>1300</v>
      </c>
      <c r="L8" s="1">
        <f t="shared" si="1"/>
        <v>1050</v>
      </c>
      <c r="M8" s="1">
        <f t="shared" si="2"/>
        <v>250</v>
      </c>
      <c r="N8">
        <f t="shared" si="3"/>
        <v>0.19230769230769232</v>
      </c>
    </row>
    <row r="9" spans="1:14" x14ac:dyDescent="0.3">
      <c r="A9" s="8" t="s">
        <v>34</v>
      </c>
      <c r="B9" s="3">
        <v>46050</v>
      </c>
      <c r="C9" s="2" t="s">
        <v>21</v>
      </c>
      <c r="D9" s="2" t="s">
        <v>35</v>
      </c>
      <c r="E9" s="4">
        <v>350</v>
      </c>
      <c r="F9" s="2">
        <v>4</v>
      </c>
      <c r="G9" s="4">
        <v>220</v>
      </c>
      <c r="H9" s="2" t="s">
        <v>18</v>
      </c>
      <c r="I9" s="2" t="s">
        <v>14</v>
      </c>
      <c r="J9" s="2">
        <v>5</v>
      </c>
      <c r="K9" s="1">
        <f t="shared" si="0"/>
        <v>1400</v>
      </c>
      <c r="L9" s="1">
        <f t="shared" si="1"/>
        <v>880</v>
      </c>
      <c r="M9" s="1">
        <f t="shared" si="2"/>
        <v>520</v>
      </c>
      <c r="N9">
        <f t="shared" si="3"/>
        <v>0.37142857142857144</v>
      </c>
    </row>
    <row r="10" spans="1:14" x14ac:dyDescent="0.3">
      <c r="A10" s="8" t="s">
        <v>36</v>
      </c>
      <c r="B10" s="3">
        <v>46055</v>
      </c>
      <c r="C10" s="2" t="s">
        <v>25</v>
      </c>
      <c r="D10" s="2" t="s">
        <v>37</v>
      </c>
      <c r="E10" s="4">
        <v>120</v>
      </c>
      <c r="F10" s="2">
        <v>5</v>
      </c>
      <c r="G10" s="4">
        <v>70</v>
      </c>
      <c r="H10" s="2" t="s">
        <v>13</v>
      </c>
      <c r="I10" s="2" t="s">
        <v>19</v>
      </c>
      <c r="J10" s="2">
        <v>4</v>
      </c>
      <c r="K10" s="1">
        <f t="shared" si="0"/>
        <v>600</v>
      </c>
      <c r="L10" s="1">
        <f t="shared" si="1"/>
        <v>350</v>
      </c>
      <c r="M10" s="1">
        <f t="shared" si="2"/>
        <v>250</v>
      </c>
      <c r="N10">
        <f t="shared" si="3"/>
        <v>0.41666666666666669</v>
      </c>
    </row>
    <row r="11" spans="1:14" x14ac:dyDescent="0.3">
      <c r="A11" s="8" t="s">
        <v>38</v>
      </c>
      <c r="B11" s="3">
        <v>46058</v>
      </c>
      <c r="C11" s="2" t="s">
        <v>28</v>
      </c>
      <c r="D11" s="2" t="s">
        <v>39</v>
      </c>
      <c r="E11" s="4">
        <v>300</v>
      </c>
      <c r="F11" s="2">
        <v>2</v>
      </c>
      <c r="G11" s="4">
        <v>210</v>
      </c>
      <c r="H11" s="2" t="s">
        <v>13</v>
      </c>
      <c r="I11" s="2" t="s">
        <v>23</v>
      </c>
      <c r="J11" s="2">
        <v>5</v>
      </c>
      <c r="K11" s="1">
        <f t="shared" si="0"/>
        <v>600</v>
      </c>
      <c r="L11" s="1">
        <f t="shared" si="1"/>
        <v>420</v>
      </c>
      <c r="M11" s="1">
        <f t="shared" si="2"/>
        <v>180</v>
      </c>
      <c r="N11">
        <f t="shared" si="3"/>
        <v>0.3</v>
      </c>
    </row>
    <row r="12" spans="1:14" x14ac:dyDescent="0.3">
      <c r="A12" s="8" t="s">
        <v>40</v>
      </c>
      <c r="B12" s="3">
        <v>46061</v>
      </c>
      <c r="C12" s="2" t="s">
        <v>11</v>
      </c>
      <c r="D12" s="2" t="s">
        <v>41</v>
      </c>
      <c r="E12" s="4">
        <v>800</v>
      </c>
      <c r="F12" s="2">
        <v>3</v>
      </c>
      <c r="G12" s="4">
        <v>620</v>
      </c>
      <c r="H12" s="2" t="s">
        <v>13</v>
      </c>
      <c r="I12" s="2" t="s">
        <v>14</v>
      </c>
      <c r="J12" s="2">
        <v>4</v>
      </c>
      <c r="K12" s="1">
        <f t="shared" si="0"/>
        <v>2400</v>
      </c>
      <c r="L12" s="1">
        <f t="shared" si="1"/>
        <v>1860</v>
      </c>
      <c r="M12" s="1">
        <f t="shared" si="2"/>
        <v>540</v>
      </c>
      <c r="N12">
        <f t="shared" si="3"/>
        <v>0.22500000000000001</v>
      </c>
    </row>
    <row r="13" spans="1:14" x14ac:dyDescent="0.3">
      <c r="A13" s="8" t="s">
        <v>42</v>
      </c>
      <c r="B13" s="3">
        <v>46063</v>
      </c>
      <c r="C13" s="2" t="s">
        <v>16</v>
      </c>
      <c r="D13" s="2" t="s">
        <v>43</v>
      </c>
      <c r="E13" s="4">
        <v>1050</v>
      </c>
      <c r="F13" s="2">
        <v>2</v>
      </c>
      <c r="G13" s="4">
        <v>820</v>
      </c>
      <c r="H13" s="2" t="s">
        <v>18</v>
      </c>
      <c r="I13" s="2" t="s">
        <v>23</v>
      </c>
      <c r="J13" s="2">
        <v>5</v>
      </c>
      <c r="K13" s="1">
        <f t="shared" si="0"/>
        <v>2100</v>
      </c>
      <c r="L13" s="1">
        <f t="shared" si="1"/>
        <v>1640</v>
      </c>
      <c r="M13" s="1">
        <f t="shared" si="2"/>
        <v>460</v>
      </c>
      <c r="N13">
        <f t="shared" si="3"/>
        <v>0.21904761904761905</v>
      </c>
    </row>
    <row r="14" spans="1:14" x14ac:dyDescent="0.3">
      <c r="A14" s="8" t="s">
        <v>44</v>
      </c>
      <c r="B14" s="3">
        <v>46067</v>
      </c>
      <c r="C14" s="2" t="s">
        <v>21</v>
      </c>
      <c r="D14" s="2" t="s">
        <v>45</v>
      </c>
      <c r="E14" s="4">
        <v>320</v>
      </c>
      <c r="F14" s="2">
        <v>2</v>
      </c>
      <c r="G14" s="4">
        <v>210</v>
      </c>
      <c r="H14" s="2" t="s">
        <v>13</v>
      </c>
      <c r="I14" s="2" t="s">
        <v>14</v>
      </c>
      <c r="J14" s="2">
        <v>5</v>
      </c>
      <c r="K14" s="1">
        <f t="shared" si="0"/>
        <v>640</v>
      </c>
      <c r="L14" s="1">
        <f t="shared" si="1"/>
        <v>420</v>
      </c>
      <c r="M14" s="1">
        <f t="shared" si="2"/>
        <v>220</v>
      </c>
      <c r="N14">
        <f t="shared" si="3"/>
        <v>0.34375</v>
      </c>
    </row>
    <row r="15" spans="1:14" x14ac:dyDescent="0.3">
      <c r="A15" s="8" t="s">
        <v>46</v>
      </c>
      <c r="B15" s="3">
        <v>46071</v>
      </c>
      <c r="C15" s="2" t="s">
        <v>25</v>
      </c>
      <c r="D15" s="2" t="s">
        <v>47</v>
      </c>
      <c r="E15" s="4">
        <v>80</v>
      </c>
      <c r="F15" s="2">
        <v>4</v>
      </c>
      <c r="G15" s="4">
        <v>45</v>
      </c>
      <c r="H15" s="2" t="s">
        <v>18</v>
      </c>
      <c r="I15" s="2" t="s">
        <v>19</v>
      </c>
      <c r="J15" s="2">
        <v>4</v>
      </c>
      <c r="K15" s="1">
        <f t="shared" si="0"/>
        <v>320</v>
      </c>
      <c r="L15" s="1">
        <f t="shared" si="1"/>
        <v>180</v>
      </c>
      <c r="M15" s="1">
        <f t="shared" si="2"/>
        <v>140</v>
      </c>
      <c r="N15">
        <f t="shared" si="3"/>
        <v>0.4375</v>
      </c>
    </row>
    <row r="16" spans="1:14" x14ac:dyDescent="0.3">
      <c r="A16" s="8" t="s">
        <v>48</v>
      </c>
      <c r="B16" s="3">
        <v>46075</v>
      </c>
      <c r="C16" s="2" t="s">
        <v>11</v>
      </c>
      <c r="D16" s="2" t="s">
        <v>49</v>
      </c>
      <c r="E16" s="4">
        <v>790</v>
      </c>
      <c r="F16" s="2">
        <v>1</v>
      </c>
      <c r="G16" s="4">
        <v>580</v>
      </c>
      <c r="H16" s="2" t="s">
        <v>13</v>
      </c>
      <c r="I16" s="2" t="s">
        <v>14</v>
      </c>
      <c r="J16" s="2">
        <v>4</v>
      </c>
      <c r="K16" s="1">
        <f t="shared" si="0"/>
        <v>790</v>
      </c>
      <c r="L16" s="1">
        <f t="shared" si="1"/>
        <v>580</v>
      </c>
      <c r="M16" s="1">
        <f t="shared" si="2"/>
        <v>210</v>
      </c>
      <c r="N16">
        <f t="shared" si="3"/>
        <v>0.26582278481012656</v>
      </c>
    </row>
    <row r="17" spans="1:14" x14ac:dyDescent="0.3">
      <c r="A17" s="8" t="s">
        <v>50</v>
      </c>
      <c r="B17" s="3">
        <v>46078</v>
      </c>
      <c r="C17" s="2" t="s">
        <v>16</v>
      </c>
      <c r="D17" s="2" t="s">
        <v>51</v>
      </c>
      <c r="E17" s="4">
        <v>1600</v>
      </c>
      <c r="F17" s="2">
        <v>1</v>
      </c>
      <c r="G17" s="4">
        <v>1300</v>
      </c>
      <c r="H17" s="2" t="s">
        <v>13</v>
      </c>
      <c r="I17" s="2" t="s">
        <v>23</v>
      </c>
      <c r="J17" s="2">
        <v>5</v>
      </c>
      <c r="K17" s="1">
        <f t="shared" si="0"/>
        <v>1600</v>
      </c>
      <c r="L17" s="1">
        <f t="shared" si="1"/>
        <v>1300</v>
      </c>
      <c r="M17" s="1">
        <f t="shared" si="2"/>
        <v>300</v>
      </c>
      <c r="N17">
        <f t="shared" si="3"/>
        <v>0.1875</v>
      </c>
    </row>
    <row r="18" spans="1:14" x14ac:dyDescent="0.3">
      <c r="A18" s="8" t="s">
        <v>52</v>
      </c>
      <c r="B18" s="3">
        <v>46082</v>
      </c>
      <c r="C18" s="2" t="s">
        <v>28</v>
      </c>
      <c r="D18" s="2" t="s">
        <v>53</v>
      </c>
      <c r="E18" s="4">
        <v>900</v>
      </c>
      <c r="F18" s="2">
        <v>1</v>
      </c>
      <c r="G18" s="4">
        <v>720</v>
      </c>
      <c r="H18" s="2" t="s">
        <v>18</v>
      </c>
      <c r="I18" s="2" t="s">
        <v>14</v>
      </c>
      <c r="J18" s="2">
        <v>5</v>
      </c>
      <c r="K18" s="1">
        <f t="shared" si="0"/>
        <v>900</v>
      </c>
      <c r="L18" s="1">
        <f t="shared" si="1"/>
        <v>720</v>
      </c>
      <c r="M18" s="1">
        <f t="shared" si="2"/>
        <v>180</v>
      </c>
      <c r="N18">
        <f t="shared" si="3"/>
        <v>0.2</v>
      </c>
    </row>
    <row r="19" spans="1:14" x14ac:dyDescent="0.3">
      <c r="A19" s="8" t="s">
        <v>54</v>
      </c>
      <c r="B19" s="3">
        <v>46085</v>
      </c>
      <c r="C19" s="2" t="s">
        <v>21</v>
      </c>
      <c r="D19" s="2" t="s">
        <v>55</v>
      </c>
      <c r="E19" s="4">
        <v>130</v>
      </c>
      <c r="F19" s="2">
        <v>6</v>
      </c>
      <c r="G19" s="4">
        <v>80</v>
      </c>
      <c r="H19" s="2" t="s">
        <v>13</v>
      </c>
      <c r="I19" s="2" t="s">
        <v>19</v>
      </c>
      <c r="J19" s="2">
        <v>4</v>
      </c>
      <c r="K19" s="1">
        <f t="shared" si="0"/>
        <v>780</v>
      </c>
      <c r="L19" s="1">
        <f t="shared" si="1"/>
        <v>480</v>
      </c>
      <c r="M19" s="1">
        <f t="shared" si="2"/>
        <v>300</v>
      </c>
      <c r="N19">
        <f t="shared" si="3"/>
        <v>0.38461538461538464</v>
      </c>
    </row>
    <row r="20" spans="1:14" x14ac:dyDescent="0.3">
      <c r="A20" s="8" t="s">
        <v>56</v>
      </c>
      <c r="B20" s="3">
        <v>46089</v>
      </c>
      <c r="C20" s="2" t="s">
        <v>25</v>
      </c>
      <c r="D20" s="2" t="s">
        <v>57</v>
      </c>
      <c r="E20" s="4">
        <v>350</v>
      </c>
      <c r="F20" s="2">
        <v>2</v>
      </c>
      <c r="G20" s="4">
        <v>260</v>
      </c>
      <c r="H20" s="2" t="s">
        <v>13</v>
      </c>
      <c r="I20" s="2" t="s">
        <v>14</v>
      </c>
      <c r="J20" s="2">
        <v>5</v>
      </c>
      <c r="K20" s="1">
        <f t="shared" si="0"/>
        <v>700</v>
      </c>
      <c r="L20" s="1">
        <f t="shared" si="1"/>
        <v>520</v>
      </c>
      <c r="M20" s="1">
        <f t="shared" si="2"/>
        <v>180</v>
      </c>
      <c r="N20">
        <f t="shared" si="3"/>
        <v>0.25714285714285712</v>
      </c>
    </row>
    <row r="21" spans="1:14" x14ac:dyDescent="0.3">
      <c r="A21" s="8" t="s">
        <v>58</v>
      </c>
      <c r="B21" s="3">
        <v>46093</v>
      </c>
      <c r="C21" s="2" t="s">
        <v>11</v>
      </c>
      <c r="D21" s="2" t="s">
        <v>59</v>
      </c>
      <c r="E21" s="4">
        <v>950</v>
      </c>
      <c r="F21" s="2">
        <v>2</v>
      </c>
      <c r="G21" s="4">
        <v>750</v>
      </c>
      <c r="H21" s="2" t="s">
        <v>18</v>
      </c>
      <c r="I21" s="2" t="s">
        <v>23</v>
      </c>
      <c r="J21" s="2">
        <v>4</v>
      </c>
      <c r="K21" s="1">
        <f t="shared" si="0"/>
        <v>1900</v>
      </c>
      <c r="L21" s="1">
        <f t="shared" si="1"/>
        <v>1500</v>
      </c>
      <c r="M21" s="1">
        <f t="shared" si="2"/>
        <v>400</v>
      </c>
      <c r="N21">
        <f t="shared" si="3"/>
        <v>0.21052631578947367</v>
      </c>
    </row>
    <row r="22" spans="1:14" x14ac:dyDescent="0.3">
      <c r="A22" s="8" t="s">
        <v>60</v>
      </c>
      <c r="B22" s="3">
        <v>46096</v>
      </c>
      <c r="C22" s="2" t="s">
        <v>16</v>
      </c>
      <c r="D22" s="2" t="s">
        <v>61</v>
      </c>
      <c r="E22" s="4">
        <v>1400</v>
      </c>
      <c r="F22" s="2">
        <v>1</v>
      </c>
      <c r="G22" s="4">
        <v>1100</v>
      </c>
      <c r="H22" s="2" t="s">
        <v>13</v>
      </c>
      <c r="I22" s="2" t="s">
        <v>19</v>
      </c>
      <c r="J22" s="2">
        <v>5</v>
      </c>
      <c r="K22" s="1">
        <f t="shared" si="0"/>
        <v>1400</v>
      </c>
      <c r="L22" s="1">
        <f t="shared" si="1"/>
        <v>1100</v>
      </c>
      <c r="M22" s="1">
        <f t="shared" si="2"/>
        <v>300</v>
      </c>
      <c r="N22">
        <f t="shared" si="3"/>
        <v>0.21428571428571427</v>
      </c>
    </row>
    <row r="23" spans="1:14" x14ac:dyDescent="0.3">
      <c r="A23" s="8" t="s">
        <v>62</v>
      </c>
      <c r="B23" s="3">
        <v>46099</v>
      </c>
      <c r="C23" s="2" t="s">
        <v>28</v>
      </c>
      <c r="D23" s="2" t="s">
        <v>63</v>
      </c>
      <c r="E23" s="4">
        <v>320</v>
      </c>
      <c r="F23" s="2">
        <v>3</v>
      </c>
      <c r="G23" s="4">
        <v>220</v>
      </c>
      <c r="H23" s="2" t="s">
        <v>13</v>
      </c>
      <c r="I23" s="2" t="s">
        <v>14</v>
      </c>
      <c r="J23" s="2">
        <v>4</v>
      </c>
      <c r="K23" s="1">
        <f t="shared" si="0"/>
        <v>960</v>
      </c>
      <c r="L23" s="1">
        <f t="shared" si="1"/>
        <v>660</v>
      </c>
      <c r="M23" s="1">
        <f t="shared" si="2"/>
        <v>300</v>
      </c>
      <c r="N23">
        <f t="shared" si="3"/>
        <v>0.3125</v>
      </c>
    </row>
    <row r="24" spans="1:14" x14ac:dyDescent="0.3">
      <c r="A24" s="8" t="s">
        <v>64</v>
      </c>
      <c r="B24" s="3">
        <v>46103</v>
      </c>
      <c r="C24" s="2" t="s">
        <v>21</v>
      </c>
      <c r="D24" s="2" t="s">
        <v>65</v>
      </c>
      <c r="E24" s="4">
        <v>370</v>
      </c>
      <c r="F24" s="2">
        <v>2</v>
      </c>
      <c r="G24" s="4">
        <v>250</v>
      </c>
      <c r="H24" s="2" t="s">
        <v>18</v>
      </c>
      <c r="I24" s="2" t="s">
        <v>14</v>
      </c>
      <c r="J24" s="2">
        <v>4</v>
      </c>
      <c r="K24" s="1">
        <f t="shared" si="0"/>
        <v>740</v>
      </c>
      <c r="L24" s="1">
        <f t="shared" si="1"/>
        <v>500</v>
      </c>
      <c r="M24" s="1">
        <f t="shared" si="2"/>
        <v>240</v>
      </c>
      <c r="N24">
        <f t="shared" si="3"/>
        <v>0.32432432432432434</v>
      </c>
    </row>
    <row r="25" spans="1:14" x14ac:dyDescent="0.3">
      <c r="A25" s="8" t="s">
        <v>66</v>
      </c>
      <c r="B25" s="3">
        <v>46106</v>
      </c>
      <c r="C25" s="2" t="s">
        <v>25</v>
      </c>
      <c r="D25" s="2" t="s">
        <v>67</v>
      </c>
      <c r="E25" s="4">
        <v>150</v>
      </c>
      <c r="F25" s="2">
        <v>3</v>
      </c>
      <c r="G25" s="4">
        <v>90</v>
      </c>
      <c r="H25" s="2" t="s">
        <v>13</v>
      </c>
      <c r="I25" s="2" t="s">
        <v>23</v>
      </c>
      <c r="J25" s="2">
        <v>5</v>
      </c>
      <c r="K25" s="1">
        <f t="shared" si="0"/>
        <v>450</v>
      </c>
      <c r="L25" s="1">
        <f t="shared" si="1"/>
        <v>270</v>
      </c>
      <c r="M25" s="1">
        <f t="shared" si="2"/>
        <v>180</v>
      </c>
      <c r="N25">
        <f t="shared" si="3"/>
        <v>0.4</v>
      </c>
    </row>
    <row r="26" spans="1:14" x14ac:dyDescent="0.3">
      <c r="A26" s="8" t="s">
        <v>68</v>
      </c>
      <c r="B26" s="3">
        <v>46109</v>
      </c>
      <c r="C26" s="2" t="s">
        <v>11</v>
      </c>
      <c r="D26" s="2" t="s">
        <v>69</v>
      </c>
      <c r="E26" s="4">
        <v>850</v>
      </c>
      <c r="F26" s="2">
        <v>2</v>
      </c>
      <c r="G26" s="4">
        <v>650</v>
      </c>
      <c r="H26" s="2" t="s">
        <v>13</v>
      </c>
      <c r="I26" s="2" t="s">
        <v>19</v>
      </c>
      <c r="J26" s="2">
        <v>4</v>
      </c>
      <c r="K26" s="1">
        <f t="shared" si="0"/>
        <v>1700</v>
      </c>
      <c r="L26" s="1">
        <f t="shared" si="1"/>
        <v>1300</v>
      </c>
      <c r="M26" s="1">
        <f>K26-L26</f>
        <v>400</v>
      </c>
      <c r="N26">
        <f t="shared" si="3"/>
        <v>0.23529411764705882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2099-7662-446B-8E43-E31484ED72BA}">
  <dimension ref="A3:M9"/>
  <sheetViews>
    <sheetView workbookViewId="0">
      <selection activeCell="D9" sqref="D9"/>
    </sheetView>
  </sheetViews>
  <sheetFormatPr defaultRowHeight="14.4" x14ac:dyDescent="0.3"/>
  <cols>
    <col min="1" max="1" width="17.21875" bestFit="1" customWidth="1"/>
    <col min="2" max="2" width="17.88671875" bestFit="1" customWidth="1"/>
    <col min="3" max="3" width="16.44140625" bestFit="1" customWidth="1"/>
    <col min="4" max="4" width="9.44140625" bestFit="1" customWidth="1"/>
    <col min="5" max="5" width="17.21875" bestFit="1" customWidth="1"/>
    <col min="6" max="6" width="17.88671875" bestFit="1" customWidth="1"/>
    <col min="9" max="9" width="17.88671875" bestFit="1" customWidth="1"/>
    <col min="10" max="10" width="20.109375" bestFit="1" customWidth="1"/>
    <col min="11" max="11" width="11.88671875" bestFit="1" customWidth="1"/>
    <col min="12" max="12" width="10.88671875" bestFit="1" customWidth="1"/>
    <col min="13" max="13" width="17.21875" bestFit="1" customWidth="1"/>
  </cols>
  <sheetData>
    <row r="3" spans="1:13" x14ac:dyDescent="0.3">
      <c r="A3" s="9" t="s">
        <v>74</v>
      </c>
      <c r="B3" t="s">
        <v>76</v>
      </c>
      <c r="C3" t="s">
        <v>77</v>
      </c>
      <c r="E3" s="9" t="s">
        <v>74</v>
      </c>
      <c r="F3" t="s">
        <v>76</v>
      </c>
      <c r="I3" s="9" t="s">
        <v>76</v>
      </c>
      <c r="J3" s="9" t="s">
        <v>81</v>
      </c>
    </row>
    <row r="4" spans="1:13" x14ac:dyDescent="0.3">
      <c r="A4" s="10" t="s">
        <v>21</v>
      </c>
      <c r="B4" s="11">
        <v>4400</v>
      </c>
      <c r="C4" s="11">
        <v>1580</v>
      </c>
      <c r="E4" s="10" t="s">
        <v>78</v>
      </c>
      <c r="F4" s="11">
        <v>10440</v>
      </c>
      <c r="I4" s="9" t="s">
        <v>74</v>
      </c>
      <c r="J4" t="s">
        <v>19</v>
      </c>
      <c r="K4" t="s">
        <v>14</v>
      </c>
      <c r="L4" t="s">
        <v>23</v>
      </c>
      <c r="M4" t="s">
        <v>75</v>
      </c>
    </row>
    <row r="5" spans="1:13" x14ac:dyDescent="0.3">
      <c r="A5" s="10" t="s">
        <v>25</v>
      </c>
      <c r="B5" s="11">
        <v>3070</v>
      </c>
      <c r="C5" s="11">
        <v>950</v>
      </c>
      <c r="E5" s="10" t="s">
        <v>79</v>
      </c>
      <c r="F5" s="11">
        <v>9050</v>
      </c>
      <c r="I5" s="10" t="s">
        <v>13</v>
      </c>
      <c r="J5" s="11">
        <v>6380</v>
      </c>
      <c r="K5" s="11">
        <v>8890</v>
      </c>
      <c r="L5" s="11">
        <v>4790</v>
      </c>
      <c r="M5" s="12">
        <v>20060</v>
      </c>
    </row>
    <row r="6" spans="1:13" x14ac:dyDescent="0.3">
      <c r="A6" s="10" t="s">
        <v>16</v>
      </c>
      <c r="B6" s="11">
        <v>7550</v>
      </c>
      <c r="C6" s="11">
        <v>1560</v>
      </c>
      <c r="E6" s="10" t="s">
        <v>80</v>
      </c>
      <c r="F6" s="11">
        <v>9530</v>
      </c>
      <c r="I6" s="10" t="s">
        <v>18</v>
      </c>
      <c r="J6" s="11">
        <v>1470</v>
      </c>
      <c r="K6" s="11">
        <v>3490</v>
      </c>
      <c r="L6" s="11">
        <v>4000</v>
      </c>
      <c r="M6" s="12">
        <v>8960</v>
      </c>
    </row>
    <row r="7" spans="1:13" x14ac:dyDescent="0.3">
      <c r="A7" s="10" t="s">
        <v>11</v>
      </c>
      <c r="B7" s="11">
        <v>11090</v>
      </c>
      <c r="C7" s="11">
        <v>2450</v>
      </c>
      <c r="E7" s="10" t="s">
        <v>75</v>
      </c>
      <c r="F7" s="12">
        <v>29020</v>
      </c>
      <c r="I7" s="10" t="s">
        <v>75</v>
      </c>
      <c r="J7" s="12">
        <v>7850</v>
      </c>
      <c r="K7" s="12">
        <v>12380</v>
      </c>
      <c r="L7" s="12">
        <v>8790</v>
      </c>
      <c r="M7" s="12">
        <v>29020</v>
      </c>
    </row>
    <row r="8" spans="1:13" x14ac:dyDescent="0.3">
      <c r="A8" s="10" t="s">
        <v>28</v>
      </c>
      <c r="B8" s="11">
        <v>2910</v>
      </c>
      <c r="C8" s="11">
        <v>790</v>
      </c>
    </row>
    <row r="9" spans="1:13" x14ac:dyDescent="0.3">
      <c r="A9" s="10" t="s">
        <v>75</v>
      </c>
      <c r="B9" s="12">
        <v>29020</v>
      </c>
      <c r="C9" s="12">
        <v>7330</v>
      </c>
      <c r="D9" s="13">
        <f>C9/B9</f>
        <v>0.25258442453480356</v>
      </c>
    </row>
  </sheetData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BC1D-74BB-4321-A2F7-2717B8C06C1C}">
  <dimension ref="A1"/>
  <sheetViews>
    <sheetView showGridLines="0" tabSelected="1" workbookViewId="0">
      <selection activeCell="Y19" sqref="Y19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Calcoli_Pivot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</dc:creator>
  <cp:lastModifiedBy>Utente1</cp:lastModifiedBy>
  <dcterms:created xsi:type="dcterms:W3CDTF">2026-10-11T07:22:55Z</dcterms:created>
  <dcterms:modified xsi:type="dcterms:W3CDTF">2026-10-11T11:22:09Z</dcterms:modified>
</cp:coreProperties>
</file>